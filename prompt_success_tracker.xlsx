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Tracker" sheetId="1" state="visible" r:id="rId3"/>
    <sheet name="Results Dashboard" sheetId="2" state="visible" r:id="rId4"/>
    <sheet name="Prompt Libr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<sst xmlns="http://schemas.openxmlformats.org/spreadsheetml/2006/main" count="160" uniqueCount="113">
  <si>
    <t xml:space="preserve">Prompt Engineering — 2-Week Success Tracker</t>
  </si>
  <si>
    <t xml:space="preserve">Start Date:</t>
  </si>
  <si>
    <t xml:space="preserve">20 Mar 2025</t>
  </si>
  <si>
    <t xml:space="preserve">End Date:</t>
  </si>
  <si>
    <t xml:space="preserve">26 Mar 2025</t>
  </si>
  <si>
    <t xml:space="preserve">DEFINITION OF SUCCESS  —  Choose your criteria before starting</t>
  </si>
  <si>
    <t xml:space="preserve">✓ Pass</t>
  </si>
  <si>
    <t xml:space="preserve">First prompt gave exactly what was needed — zero revision</t>
  </si>
  <si>
    <t xml:space="preserve">~ Close</t>
  </si>
  <si>
    <t xml:space="preserve">Minor fix needed (typo, small format tweak) — still counts as pass</t>
  </si>
  <si>
    <t xml:space="preserve">↻ Revise</t>
  </si>
  <si>
    <t xml:space="preserve">One full revision round needed</t>
  </si>
  <si>
    <t xml:space="preserve">✗ Fail</t>
  </si>
  <si>
    <t xml:space="preserve">Multiple iterations required — counted as failure</t>
  </si>
  <si>
    <t xml:space="preserve">WEEK 1 — Before Formula (baseline)</t>
  </si>
  <si>
    <t xml:space="preserve">Date</t>
  </si>
  <si>
    <t xml:space="preserve">Prompt Summary</t>
  </si>
  <si>
    <t xml:space="preserve">Formula Used?</t>
  </si>
  <si>
    <t xml:space="preserve">Result</t>
  </si>
  <si>
    <t xml:space="preserve">Notes / What to Improve</t>
  </si>
  <si>
    <t xml:space="preserve">Day 1</t>
  </si>
  <si>
    <t xml:space="preserve">20 Mar</t>
  </si>
  <si>
    <t xml:space="preserve">RWA platform research — explore platforms, list token standards for real estate</t>
  </si>
  <si>
    <t xml:space="preserve">No</t>
  </si>
  <si>
    <t xml:space="preserve">3 tasks in 1 sentence. No chain/jurisdiction. Got generic essay, needed follow-up.</t>
  </si>
  <si>
    <t xml:space="preserve">Day 2</t>
  </si>
  <si>
    <t xml:space="preserve">21 Mar</t>
  </si>
  <si>
    <t xml:space="preserve">End-to-end smart contract architecture — Seller/Buyer/Admin flow, fiat+crypto payment</t>
  </si>
  <si>
    <t xml:space="preserve">Good task detail but no constraints or output format. Needed one format revision.</t>
  </si>
  <si>
    <t xml:space="preserve">Day 3</t>
  </si>
  <si>
    <t xml:space="preserve">22 Mar</t>
  </si>
  <si>
    <t xml:space="preserve">RWA research (5-part template) — survey 7 platforms, ERC standards, Phase 1 recommendation</t>
  </si>
  <si>
    <t xml:space="preserve">Yes</t>
  </si>
  <si>
    <t xml:space="preserve">All 5 parts present. Got platform table + standards breakdown + recommendation first try.</t>
  </si>
  <si>
    <t xml:space="preserve">Day 4</t>
  </si>
  <si>
    <t xml:space="preserve">23 Mar</t>
  </si>
  <si>
    <t xml:space="preserve">RWA research template reused — ERC-3643 vs ERC-7518 deep comparison</t>
  </si>
  <si>
    <t xml:space="preserve">Template reused from Day 3. Consistent structure = first-attempt success.</t>
  </si>
  <si>
    <t xml:space="preserve">Day 5</t>
  </si>
  <si>
    <t xml:space="preserve">24 Mar</t>
  </si>
  <si>
    <t xml:space="preserve">RWA contract architecture — PropertyToken design using ERC-3643</t>
  </si>
  <si>
    <t xml:space="preserve">5-part template applied to contract phase. No revisions needed.</t>
  </si>
  <si>
    <t xml:space="preserve">Day 6</t>
  </si>
  <si>
    <t xml:space="preserve">25 Mar</t>
  </si>
  <si>
    <t xml:space="preserve">RWA compliance module — KYC/AML enforcement, jurisdiction lock India+UAE</t>
  </si>
  <si>
    <t xml:space="preserve">Constraints and output format kept response focused and actionable.</t>
  </si>
  <si>
    <t xml:space="preserve">Day 7</t>
  </si>
  <si>
    <t xml:space="preserve">26 Mar</t>
  </si>
  <si>
    <t xml:space="preserve">RWA platform survey + token standards breakdown — full structured output</t>
  </si>
  <si>
    <t xml:space="preserve">Formula fully internalised. 5th consecutive first-attempt pass with template.</t>
  </si>
  <si>
    <t xml:space="preserve">Total prompts logged:</t>
  </si>
  <si>
    <t xml:space="preserve">Successful (✓ Pass / ~ Close):</t>
  </si>
  <si>
    <t xml:space="preserve">Success rate:</t>
  </si>
  <si>
    <t xml:space="preserve">WEEK 2 — Using 5-Part Formula</t>
  </si>
  <si>
    <t xml:space="preserve">Yes / No</t>
  </si>
  <si>
    <t xml:space="preserve">✓ Pass / ✗ Fail</t>
  </si>
  <si>
    <t xml:space="preserve">KEY INSIGHTS  (fill in at end of Week 2)</t>
  </si>
  <si>
    <t xml:space="preserve">What improved most:</t>
  </si>
  <si>
    <t xml:space="preserve">Formula use (Days 3–7): 5 consecutive ✓ Pass vs 1 ↻ Revise on Day 1 without formula</t>
  </si>
  <si>
    <t xml:space="preserve">Challenges encountered:</t>
  </si>
  <si>
    <t xml:space="preserve">Day 1: overloaded task with no constraints produced generic output. Day 2: good detail but missing output format caused a revision round.</t>
  </si>
  <si>
    <t xml:space="preserve">Adjustments made:</t>
  </si>
  <si>
    <t xml:space="preserve">Adopted rwa-research.md template from Day 3 onwards. Result: success rate jumped from ~50% (Days 1–2) to 100% (Days 3–7).</t>
  </si>
  <si>
    <t xml:space="preserve">Results Dashboard — Before vs After Formula</t>
  </si>
  <si>
    <t xml:space="preserve">COMPARISON TABLE</t>
  </si>
  <si>
    <t xml:space="preserve">Metric</t>
  </si>
  <si>
    <t xml:space="preserve">Week 1 (No Formula)</t>
  </si>
  <si>
    <t xml:space="preserve">Week 2 (Formula)</t>
  </si>
  <si>
    <t xml:space="preserve">Change / Delta</t>
  </si>
  <si>
    <t xml:space="preserve">Prompts logged</t>
  </si>
  <si>
    <t xml:space="preserve">Successful attempts</t>
  </si>
  <si>
    <t xml:space="preserve">Success rate</t>
  </si>
  <si>
    <t xml:space="preserve">Avg. revision attempts</t>
  </si>
  <si>
    <t xml:space="preserve">(fill in)</t>
  </si>
  <si>
    <t xml:space="preserve">Avg. time per task (min)</t>
  </si>
  <si>
    <t xml:space="preserve">IMPROVEMENT HIGHLIGHT</t>
  </si>
  <si>
    <t xml:space="preserve">HOW TO USE THIS TRACKER</t>
  </si>
  <si>
    <t xml:space="preserve">Step 1</t>
  </si>
  <si>
    <t xml:space="preserve">Go to the 'Weekly Tracker' tab. Set your Start Date and End Date in row 3.</t>
  </si>
  <si>
    <t xml:space="preserve">Step 2</t>
  </si>
  <si>
    <t xml:space="preserve">Week 1 (rows 12–20): Use prompts WITHOUT the 5-part formula. Log each day.</t>
  </si>
  <si>
    <t xml:space="preserve">Step 3</t>
  </si>
  <si>
    <t xml:space="preserve">Week 2 (rows 23–31): Use the 5-part formula for every prompt. Log each day.</t>
  </si>
  <si>
    <t xml:space="preserve">Step 4</t>
  </si>
  <si>
    <t xml:space="preserve">For Result column: type exactly  ✓ Pass,  ~ Close,  ↻ Revise, or  ✗ Fail</t>
  </si>
  <si>
    <t xml:space="preserve">Step 5</t>
  </si>
  <si>
    <t xml:space="preserve">Come back to this dashboard — success rates and delta update automatically.</t>
  </si>
  <si>
    <t xml:space="preserve">Personal Prompt Library — 5-Part Formula Templates</t>
  </si>
  <si>
    <t xml:space="preserve">Category</t>
  </si>
  <si>
    <t xml:space="preserve">Use Case</t>
  </si>
  <si>
    <t xml:space="preserve">Original (Before)</t>
  </si>
  <si>
    <t xml:space="preserve">Rewritten (5-Part Formula)</t>
  </si>
  <si>
    <t xml:space="preserve">Notes</t>
  </si>
  <si>
    <t xml:space="preserve">RWA / Blockchain</t>
  </si>
  <si>
    <t xml:space="preserve">Platform research</t>
  </si>
  <si>
    <t xml:space="preserve">Act as architect, explore RWA platforms, find token standards</t>
  </si>
  <si>
    <t xml:space="preserve">Role: Senior blockchain architect. Context: Real-estate RWA on Ethereum+Polygon, India+UAE jurisdiction, no code yet. Task: Survey RealT/Tokeny/Lofty/RealX — token standard + compliance approach. Constraints: EVM only, no custom ERCs, no code. Output: platform table + standards breakdown + Phase 1 recommendation.</t>
  </si>
  <si>
    <t xml:space="preserve">Scoped to 7 platforms, clear output format, no code output</t>
  </si>
  <si>
    <t xml:space="preserve">Contract implementation</t>
  </si>
  <si>
    <t xml:space="preserve">Write a smart contract for property token</t>
  </si>
  <si>
    <t xml:space="preserve">Role: Senior Solidity engineer (ERC-3643 specialist). Context: RWA real-estate platform, Polygon, SPV-based. Task: Implement PropertyToken with 18-decimal fractions, ONCHAINID KYC, India+UAE jurisdiction lock, max 500 holders. Constraints: don't modify T-REX interface, no upgradeable proxy, match Solidity 0.8.x. Output: contract file + NatSpec on all public functions.</t>
  </si>
  <si>
    <t xml:space="preserve">Added chain, standard, jurisdiction, holder cap, and output spec</t>
  </si>
  <si>
    <t xml:space="preserve">Contract audit</t>
  </si>
  <si>
    <t xml:space="preserve">Review my contract</t>
  </si>
  <si>
    <t xml:space="preserve">Role: Smart contract auditor (security tokens). Context: ERC-3643 PropertyToken on Polygon. Task: Review for (1) security, (2) compliance bypass, (3) logic errors, (4) gas. Constraints: flag only, don't rewrite, must-fix first, cite line numbers. Output: ## Critical / ## High / ## Medium / ## Passed.</t>
  </si>
  <si>
    <t xml:space="preserve">Structured output prevents vague essay responses</t>
  </si>
  <si>
    <t xml:space="preserve">General</t>
  </si>
  <si>
    <t xml:space="preserve">Debug fix</t>
  </si>
  <si>
    <t xml:space="preserve">Why is this returning undefined?</t>
  </si>
  <si>
    <t xml:space="preserve">Role: Senior [language] engineer. Context: [module + purpose]. Task: Failing test — [paste error + code]. Find root cause and fix WITHOUT changing the test. Constraints: surgical fix only, don't change public signature. Output: 1) root cause 2) fixed lines + context 3) why it works.</t>
  </si>
  <si>
    <t xml:space="preserve">Refactor</t>
  </si>
  <si>
    <t xml:space="preserve">Refactor this to be cleaner</t>
  </si>
  <si>
    <t xml:space="preserve">Role: Senior [framework] architect. Context: [module] using [old pattern], migrating to [new pattern]. Task: Refactor [file] — replace [old] with [new]. Constraints: don't change public API, don't add logic, all tests must pass. Output: full refactored file + comment block at top.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</si>
</sst>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\+0%;\-0%;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2C2C2A"/>
      <name val="Arial"/>
      <family val="0"/>
      <charset val="1"/>
    </font>
    <font>
      <b val="true"/>
      <sz val="10"/>
      <color rgb="FF534AB7"/>
      <name val="Arial"/>
      <family val="0"/>
      <charset val="1"/>
    </font>
    <font>
      <b val="true"/>
      <sz val="10"/>
      <color rgb="FF854F0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5F5E5A"/>
      <name val="Arial"/>
      <family val="0"/>
      <charset val="1"/>
    </font>
    <font>
      <b val="true"/>
      <sz val="10"/>
      <color rgb="FF3B6D1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F6E56"/>
      <name val="Arial"/>
      <family val="0"/>
      <charset val="1"/>
    </font>
    <font>
      <i val="true"/>
      <sz val="10"/>
      <color rgb="FFD3D1C7"/>
      <name val="Arial"/>
      <family val="0"/>
      <charset val="1"/>
    </font>
    <font>
      <b val="true"/>
      <sz val="10"/>
      <color rgb="FF2C2C2A"/>
      <name val="Arial"/>
      <family val="0"/>
      <charset val="1"/>
    </font>
    <font>
      <i val="true"/>
      <sz val="10"/>
      <color rgb="FFA32D2D"/>
      <name val="Arial"/>
      <family val="0"/>
      <charset val="1"/>
    </font>
    <font>
      <sz val="10"/>
      <color rgb="FF0F6E56"/>
      <name val="Arial"/>
      <family val="0"/>
      <charset val="1"/>
    </font>
    <font>
      <i val="true"/>
      <sz val="10"/>
      <color rgb="FF2C2C2A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534AB7"/>
        <bgColor rgb="FF5F5E5A"/>
      </patternFill>
    </fill>
    <fill>
      <patternFill patternType="solid">
        <fgColor rgb="FFEEEDFE"/>
        <bgColor rgb="FFF1EFE8"/>
      </patternFill>
    </fill>
    <fill>
      <patternFill patternType="solid">
        <fgColor rgb="FFFFFFFF"/>
        <bgColor rgb="FFF0FBF6"/>
      </patternFill>
    </fill>
    <fill>
      <patternFill patternType="solid">
        <fgColor rgb="FF854F0B"/>
        <bgColor rgb="FFA32D2D"/>
      </patternFill>
    </fill>
    <fill>
      <patternFill patternType="solid">
        <fgColor rgb="FFF1EFE8"/>
        <bgColor rgb="FFEAF3DE"/>
      </patternFill>
    </fill>
    <fill>
      <patternFill patternType="solid">
        <fgColor rgb="FFFAEEDA"/>
        <bgColor rgb="FFFCEBEB"/>
      </patternFill>
    </fill>
    <fill>
      <patternFill patternType="solid">
        <fgColor rgb="FFEAF3DE"/>
        <bgColor rgb="FFF1EFE8"/>
      </patternFill>
    </fill>
    <fill>
      <patternFill patternType="solid">
        <fgColor rgb="FF4F0B22"/>
        <bgColor rgb="FF800000"/>
      </patternFill>
    </fill>
    <fill>
      <patternFill patternType="solid">
        <fgColor rgb="FF0F6E56"/>
        <bgColor rgb="FF008080"/>
      </patternFill>
    </fill>
    <fill>
      <patternFill patternType="solid">
        <fgColor rgb="FFE1F5EE"/>
        <bgColor rgb="FFEAF3DE"/>
      </patternFill>
    </fill>
    <fill>
      <patternFill patternType="solid">
        <fgColor rgb="FFAFA9EC"/>
        <bgColor rgb="FFCC99FF"/>
      </patternFill>
    </fill>
    <fill>
      <patternFill patternType="solid">
        <fgColor rgb="FFFCEBEB"/>
        <bgColor rgb="FFFFF0F0"/>
      </patternFill>
    </fill>
    <fill>
      <patternFill patternType="solid">
        <fgColor rgb="FFFFF0F0"/>
        <bgColor rgb="FFFCEBEB"/>
      </patternFill>
    </fill>
    <fill>
      <patternFill patternType="solid">
        <fgColor rgb="FFF0FBF6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854F0B"/>
      </left>
      <right style="thin">
        <color rgb="FF854F0B"/>
      </right>
      <top style="thin">
        <color rgb="FF854F0B"/>
      </top>
      <bottom style="thin">
        <color rgb="FF854F0B"/>
      </bottom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 style="thin">
        <color rgb="FF0F6E56"/>
      </left>
      <right style="thin">
        <color rgb="FF0F6E56"/>
      </right>
      <top style="thin">
        <color rgb="FF0F6E56"/>
      </top>
      <bottom style="thin">
        <color rgb="FF0F6E5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3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2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3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1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1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1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1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854F0B"/>
      <rgbColor rgb="FF800080"/>
      <rgbColor rgb="FF0F6E56"/>
      <rgbColor rgb="FFD3D1C7"/>
      <rgbColor rgb="FF808080"/>
      <rgbColor rgb="FFAFA9EC"/>
      <rgbColor rgb="FF993366"/>
      <rgbColor rgb="FFFAEEDA"/>
      <rgbColor rgb="FFE1F5EE"/>
      <rgbColor rgb="FF4F0B22"/>
      <rgbColor rgb="FFFF8080"/>
      <rgbColor rgb="FF0066CC"/>
      <rgbColor rgb="FFEEED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BF6"/>
      <rgbColor rgb="FFEAF3DE"/>
      <rgbColor rgb="FFF1EFE8"/>
      <rgbColor rgb="FFFFF0F0"/>
      <rgbColor rgb="FFFF99CC"/>
      <rgbColor rgb="FFCC99FF"/>
      <rgbColor rgb="FFFCEBEB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A32D2D"/>
      <rgbColor rgb="FF993366"/>
      <rgbColor rgb="FF534AB7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38"/>
    <col collapsed="false" customWidth="true" hidden="false" outlineLevel="0" max="5" min="4" style="1" width="16"/>
    <col collapsed="false" customWidth="true" hidden="false" outlineLevel="0" max="6" min="6" style="1" width="30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21.75" hidden="false" customHeight="true" outlineLevel="0" collapsed="false">
      <c r="A2" s="2"/>
      <c r="B2" s="2"/>
      <c r="C2" s="2"/>
      <c r="D2" s="2"/>
      <c r="E2" s="2"/>
      <c r="F2" s="2"/>
    </row>
    <row r="3" customFormat="false" ht="21.75" hidden="false" customHeight="true" outlineLevel="0" collapsed="false">
      <c r="A3" s="3"/>
      <c r="B3" s="4" t="s">
        <v>1</v>
      </c>
      <c r="C3" s="5" t="s">
        <v>2</v>
      </c>
      <c r="D3" s="6" t="s">
        <v>3</v>
      </c>
      <c r="E3" s="5" t="s">
        <v>4</v>
      </c>
      <c r="F3" s="3"/>
    </row>
    <row r="4" customFormat="false" ht="21.75" hidden="false" customHeight="true" outlineLevel="0" collapsed="false"/>
    <row r="5" customFormat="false" ht="21.75" hidden="false" customHeight="true" outlineLevel="0" collapsed="false">
      <c r="A5" s="7" t="s">
        <v>5</v>
      </c>
      <c r="B5" s="7"/>
      <c r="C5" s="7"/>
      <c r="D5" s="7"/>
      <c r="E5" s="7"/>
      <c r="F5" s="7"/>
    </row>
    <row r="6" customFormat="false" ht="21.75" hidden="false" customHeight="true" outlineLevel="0" collapsed="false">
      <c r="A6" s="3"/>
      <c r="B6" s="4" t="s">
        <v>6</v>
      </c>
      <c r="C6" s="8" t="s">
        <v>7</v>
      </c>
      <c r="D6" s="8"/>
      <c r="E6" s="8"/>
      <c r="F6" s="8"/>
    </row>
    <row r="7" customFormat="false" ht="21.75" hidden="false" customHeight="true" outlineLevel="0" collapsed="false">
      <c r="A7" s="9"/>
      <c r="B7" s="10" t="s">
        <v>8</v>
      </c>
      <c r="C7" s="11" t="s">
        <v>9</v>
      </c>
      <c r="D7" s="11"/>
      <c r="E7" s="11"/>
      <c r="F7" s="11"/>
    </row>
    <row r="8" customFormat="false" ht="21.75" hidden="false" customHeight="true" outlineLevel="0" collapsed="false">
      <c r="A8" s="3"/>
      <c r="B8" s="4" t="s">
        <v>10</v>
      </c>
      <c r="C8" s="8" t="s">
        <v>11</v>
      </c>
      <c r="D8" s="8"/>
      <c r="E8" s="8"/>
      <c r="F8" s="8"/>
    </row>
    <row r="9" customFormat="false" ht="21.75" hidden="false" customHeight="true" outlineLevel="0" collapsed="false">
      <c r="A9" s="9"/>
      <c r="B9" s="10" t="s">
        <v>12</v>
      </c>
      <c r="C9" s="11" t="s">
        <v>13</v>
      </c>
      <c r="D9" s="11"/>
      <c r="E9" s="11"/>
      <c r="F9" s="11"/>
    </row>
    <row r="10" customFormat="false" ht="21.75" hidden="false" customHeight="true" outlineLevel="0" collapsed="false"/>
    <row r="11" customFormat="false" ht="21.75" hidden="false" customHeight="true" outlineLevel="0" collapsed="false">
      <c r="A11" s="12" t="s">
        <v>14</v>
      </c>
      <c r="B11" s="12"/>
      <c r="C11" s="12"/>
      <c r="D11" s="12"/>
      <c r="E11" s="12"/>
      <c r="F11" s="12"/>
    </row>
    <row r="12" customFormat="false" ht="21.75" hidden="false" customHeight="true" outlineLevel="0" collapsed="false">
      <c r="A12" s="13"/>
      <c r="B12" s="13" t="s">
        <v>15</v>
      </c>
      <c r="C12" s="13" t="s">
        <v>16</v>
      </c>
      <c r="D12" s="13" t="s">
        <v>17</v>
      </c>
      <c r="E12" s="13" t="s">
        <v>18</v>
      </c>
      <c r="F12" s="13" t="s">
        <v>19</v>
      </c>
    </row>
    <row r="13" customFormat="false" ht="36" hidden="false" customHeight="true" outlineLevel="0" collapsed="false">
      <c r="A13" s="14" t="s">
        <v>20</v>
      </c>
      <c r="B13" s="15" t="s">
        <v>21</v>
      </c>
      <c r="C13" s="16" t="s">
        <v>22</v>
      </c>
      <c r="D13" s="17" t="s">
        <v>23</v>
      </c>
      <c r="E13" s="18" t="s">
        <v>10</v>
      </c>
      <c r="F13" s="19" t="s">
        <v>24</v>
      </c>
    </row>
    <row r="14" customFormat="false" ht="36" hidden="false" customHeight="true" outlineLevel="0" collapsed="false">
      <c r="A14" s="20" t="s">
        <v>25</v>
      </c>
      <c r="B14" s="21" t="s">
        <v>26</v>
      </c>
      <c r="C14" s="22" t="s">
        <v>27</v>
      </c>
      <c r="D14" s="17" t="s">
        <v>23</v>
      </c>
      <c r="E14" s="17" t="s">
        <v>8</v>
      </c>
      <c r="F14" s="23" t="s">
        <v>28</v>
      </c>
    </row>
    <row r="15" customFormat="false" ht="36" hidden="false" customHeight="true" outlineLevel="0" collapsed="false">
      <c r="A15" s="14" t="s">
        <v>29</v>
      </c>
      <c r="B15" s="15" t="s">
        <v>30</v>
      </c>
      <c r="C15" s="16" t="s">
        <v>31</v>
      </c>
      <c r="D15" s="24" t="s">
        <v>32</v>
      </c>
      <c r="E15" s="24" t="s">
        <v>6</v>
      </c>
      <c r="F15" s="19" t="s">
        <v>33</v>
      </c>
    </row>
    <row r="16" customFormat="false" ht="36" hidden="false" customHeight="true" outlineLevel="0" collapsed="false">
      <c r="A16" s="20" t="s">
        <v>34</v>
      </c>
      <c r="B16" s="21" t="s">
        <v>35</v>
      </c>
      <c r="C16" s="22" t="s">
        <v>36</v>
      </c>
      <c r="D16" s="24" t="s">
        <v>32</v>
      </c>
      <c r="E16" s="24" t="s">
        <v>6</v>
      </c>
      <c r="F16" s="23" t="s">
        <v>37</v>
      </c>
    </row>
    <row r="17" customFormat="false" ht="36" hidden="false" customHeight="true" outlineLevel="0" collapsed="false">
      <c r="A17" s="14" t="s">
        <v>38</v>
      </c>
      <c r="B17" s="15" t="s">
        <v>39</v>
      </c>
      <c r="C17" s="16" t="s">
        <v>40</v>
      </c>
      <c r="D17" s="24" t="s">
        <v>32</v>
      </c>
      <c r="E17" s="24" t="s">
        <v>6</v>
      </c>
      <c r="F17" s="19" t="s">
        <v>41</v>
      </c>
    </row>
    <row r="18" customFormat="false" ht="36" hidden="false" customHeight="true" outlineLevel="0" collapsed="false">
      <c r="A18" s="20" t="s">
        <v>42</v>
      </c>
      <c r="B18" s="21" t="s">
        <v>43</v>
      </c>
      <c r="C18" s="22" t="s">
        <v>44</v>
      </c>
      <c r="D18" s="24" t="s">
        <v>32</v>
      </c>
      <c r="E18" s="24" t="s">
        <v>6</v>
      </c>
      <c r="F18" s="23" t="s">
        <v>45</v>
      </c>
    </row>
    <row r="19" customFormat="false" ht="36" hidden="false" customHeight="true" outlineLevel="0" collapsed="false">
      <c r="A19" s="14" t="s">
        <v>46</v>
      </c>
      <c r="B19" s="15" t="s">
        <v>47</v>
      </c>
      <c r="C19" s="16" t="s">
        <v>48</v>
      </c>
      <c r="D19" s="24" t="s">
        <v>32</v>
      </c>
      <c r="E19" s="24" t="s">
        <v>6</v>
      </c>
      <c r="F19" s="19" t="s">
        <v>49</v>
      </c>
    </row>
    <row r="20" customFormat="false" ht="21.75" hidden="false" customHeight="true" outlineLevel="0" collapsed="false">
      <c r="A20" s="25" t="s">
        <v>50</v>
      </c>
      <c r="B20" s="25"/>
      <c r="C20" s="26" t="n">
        <f aca="false">COUNTA(C13:C19)</f>
        <v>7</v>
      </c>
      <c r="D20" s="25" t="s">
        <v>51</v>
      </c>
      <c r="E20" s="25"/>
      <c r="F20" s="26" t="n">
        <f aca="false">COUNTIF(E13:E19,"✓ Pass")+COUNTIF(E13:E19,"~ Close")</f>
        <v>5</v>
      </c>
    </row>
    <row r="21" customFormat="false" ht="21.75" hidden="false" customHeight="true" outlineLevel="0" collapsed="false">
      <c r="A21" s="27" t="s">
        <v>52</v>
      </c>
      <c r="B21" s="27"/>
      <c r="C21" s="28" t="n">
        <f aca="false">IF(C20=0,"—",F20/C20)</f>
        <v>0.714285714285714</v>
      </c>
      <c r="D21" s="29"/>
      <c r="E21" s="29"/>
      <c r="F21" s="29"/>
    </row>
    <row r="22" customFormat="false" ht="21.75" hidden="false" customHeight="true" outlineLevel="0" collapsed="false"/>
    <row r="23" customFormat="false" ht="21.75" hidden="false" customHeight="true" outlineLevel="0" collapsed="false">
      <c r="A23" s="30" t="s">
        <v>53</v>
      </c>
      <c r="B23" s="30"/>
      <c r="C23" s="30"/>
      <c r="D23" s="30"/>
      <c r="E23" s="30"/>
      <c r="F23" s="30"/>
    </row>
    <row r="24" customFormat="false" ht="21.75" hidden="false" customHeight="true" outlineLevel="0" collapsed="false">
      <c r="A24" s="31"/>
      <c r="B24" s="31" t="s">
        <v>15</v>
      </c>
      <c r="C24" s="31" t="s">
        <v>16</v>
      </c>
      <c r="D24" s="31" t="s">
        <v>17</v>
      </c>
      <c r="E24" s="31" t="s">
        <v>18</v>
      </c>
      <c r="F24" s="31" t="s">
        <v>19</v>
      </c>
    </row>
    <row r="25" customFormat="false" ht="21.75" hidden="false" customHeight="true" outlineLevel="0" collapsed="false">
      <c r="A25" s="32" t="s">
        <v>20</v>
      </c>
      <c r="B25" s="21"/>
      <c r="C25" s="22"/>
      <c r="D25" s="33" t="s">
        <v>54</v>
      </c>
      <c r="E25" s="33" t="s">
        <v>55</v>
      </c>
      <c r="F25" s="22"/>
    </row>
    <row r="26" customFormat="false" ht="21.75" hidden="false" customHeight="true" outlineLevel="0" collapsed="false">
      <c r="A26" s="34" t="s">
        <v>25</v>
      </c>
      <c r="B26" s="15"/>
      <c r="C26" s="16"/>
      <c r="D26" s="35" t="s">
        <v>54</v>
      </c>
      <c r="E26" s="35" t="s">
        <v>55</v>
      </c>
      <c r="F26" s="16"/>
    </row>
    <row r="27" customFormat="false" ht="21.75" hidden="false" customHeight="true" outlineLevel="0" collapsed="false">
      <c r="A27" s="32" t="s">
        <v>29</v>
      </c>
      <c r="B27" s="21"/>
      <c r="C27" s="22"/>
      <c r="D27" s="33" t="s">
        <v>54</v>
      </c>
      <c r="E27" s="33" t="s">
        <v>55</v>
      </c>
      <c r="F27" s="22"/>
    </row>
    <row r="28" customFormat="false" ht="21.75" hidden="false" customHeight="true" outlineLevel="0" collapsed="false">
      <c r="A28" s="34" t="s">
        <v>34</v>
      </c>
      <c r="B28" s="15"/>
      <c r="C28" s="16"/>
      <c r="D28" s="35" t="s">
        <v>54</v>
      </c>
      <c r="E28" s="35" t="s">
        <v>55</v>
      </c>
      <c r="F28" s="16"/>
    </row>
    <row r="29" customFormat="false" ht="21.75" hidden="false" customHeight="true" outlineLevel="0" collapsed="false">
      <c r="A29" s="32" t="s">
        <v>38</v>
      </c>
      <c r="B29" s="21"/>
      <c r="C29" s="22"/>
      <c r="D29" s="33" t="s">
        <v>54</v>
      </c>
      <c r="E29" s="33" t="s">
        <v>55</v>
      </c>
      <c r="F29" s="22"/>
    </row>
    <row r="30" customFormat="false" ht="21.75" hidden="false" customHeight="true" outlineLevel="0" collapsed="false">
      <c r="A30" s="34" t="s">
        <v>42</v>
      </c>
      <c r="B30" s="15"/>
      <c r="C30" s="16"/>
      <c r="D30" s="35" t="s">
        <v>54</v>
      </c>
      <c r="E30" s="35" t="s">
        <v>55</v>
      </c>
      <c r="F30" s="16"/>
    </row>
    <row r="31" customFormat="false" ht="21.75" hidden="false" customHeight="true" outlineLevel="0" collapsed="false">
      <c r="A31" s="32" t="s">
        <v>46</v>
      </c>
      <c r="B31" s="21"/>
      <c r="C31" s="22"/>
      <c r="D31" s="33" t="s">
        <v>54</v>
      </c>
      <c r="E31" s="33" t="s">
        <v>55</v>
      </c>
      <c r="F31" s="22"/>
    </row>
    <row r="32" customFormat="false" ht="21.75" hidden="false" customHeight="true" outlineLevel="0" collapsed="false">
      <c r="A32" s="36" t="s">
        <v>50</v>
      </c>
      <c r="B32" s="36"/>
      <c r="C32" s="37" t="n">
        <f aca="false">COUNTA(C25:C31)</f>
        <v>0</v>
      </c>
      <c r="D32" s="36" t="s">
        <v>51</v>
      </c>
      <c r="E32" s="36"/>
      <c r="F32" s="37" t="n">
        <f aca="false">COUNTIF(E25:E31,"✓ Pass")+COUNTIF(E25:E31,"~ Close")</f>
        <v>0</v>
      </c>
    </row>
    <row r="33" customFormat="false" ht="21.75" hidden="false" customHeight="true" outlineLevel="0" collapsed="false">
      <c r="A33" s="38" t="s">
        <v>52</v>
      </c>
      <c r="B33" s="38"/>
      <c r="C33" s="39" t="str">
        <f aca="false">IF(C32=0,"—",F32/C32)</f>
        <v>—</v>
      </c>
      <c r="D33" s="40"/>
      <c r="E33" s="40"/>
      <c r="F33" s="40"/>
    </row>
    <row r="34" customFormat="false" ht="21.75" hidden="false" customHeight="true" outlineLevel="0" collapsed="false"/>
    <row r="35" customFormat="false" ht="21.75" hidden="false" customHeight="true" outlineLevel="0" collapsed="false">
      <c r="A35" s="41" t="s">
        <v>56</v>
      </c>
      <c r="B35" s="41"/>
      <c r="C35" s="41"/>
      <c r="D35" s="41"/>
      <c r="E35" s="41"/>
      <c r="F35" s="41"/>
    </row>
    <row r="36" customFormat="false" ht="39.75" hidden="false" customHeight="true" outlineLevel="0" collapsed="false">
      <c r="A36" s="3"/>
      <c r="B36" s="4" t="s">
        <v>57</v>
      </c>
      <c r="C36" s="8" t="s">
        <v>58</v>
      </c>
      <c r="D36" s="8"/>
      <c r="E36" s="8"/>
      <c r="F36" s="8"/>
    </row>
    <row r="37" customFormat="false" ht="39.75" hidden="false" customHeight="true" outlineLevel="0" collapsed="false">
      <c r="A37" s="9"/>
      <c r="B37" s="10" t="s">
        <v>59</v>
      </c>
      <c r="C37" s="11" t="s">
        <v>60</v>
      </c>
      <c r="D37" s="11"/>
      <c r="E37" s="11"/>
      <c r="F37" s="11"/>
    </row>
    <row r="38" customFormat="false" ht="39.75" hidden="false" customHeight="true" outlineLevel="0" collapsed="false">
      <c r="A38" s="3"/>
      <c r="B38" s="4" t="s">
        <v>61</v>
      </c>
      <c r="C38" s="8" t="s">
        <v>62</v>
      </c>
      <c r="D38" s="8"/>
      <c r="E38" s="8"/>
      <c r="F38" s="8"/>
    </row>
    <row r="39" customFormat="false" ht="21.75" hidden="false" customHeight="true" outlineLevel="0" collapsed="false"/>
    <row r="40" customFormat="false" ht="21.75" hidden="false" customHeight="true" outlineLevel="0" collapsed="false"/>
    <row r="41" customFormat="false" ht="21.75" hidden="false" customHeight="true" outlineLevel="0" collapsed="false"/>
    <row r="42" customFormat="false" ht="21.75" hidden="false" customHeight="true" outlineLevel="0" collapsed="false"/>
    <row r="43" customFormat="false" ht="21.75" hidden="false" customHeight="true" outlineLevel="0" collapsed="false"/>
    <row r="44" customFormat="false" ht="21.75" hidden="false" customHeight="true" outlineLevel="0" collapsed="false"/>
    <row r="45" customFormat="false" ht="21.75" hidden="false" customHeight="true" outlineLevel="0" collapsed="false"/>
    <row r="46" customFormat="false" ht="21.75" hidden="false" customHeight="true" outlineLevel="0" collapsed="false"/>
    <row r="47" customFormat="false" ht="21.75" hidden="false" customHeight="true" outlineLevel="0" collapsed="false"/>
    <row r="48" customFormat="false" ht="21.75" hidden="false" customHeight="true" outlineLevel="0" collapsed="false"/>
    <row r="49" customFormat="false" ht="21.75" hidden="false" customHeight="true" outlineLevel="0" collapsed="false"/>
    <row r="50" customFormat="false" ht="21.75" hidden="false" customHeight="true" outlineLevel="0" collapsed="false"/>
    <row r="51" customFormat="false" ht="21.75" hidden="false" customHeight="true" outlineLevel="0" collapsed="false"/>
    <row r="52" customFormat="false" ht="21.75" hidden="false" customHeight="true" outlineLevel="0" collapsed="false"/>
    <row r="53" customFormat="false" ht="21.75" hidden="false" customHeight="true" outlineLevel="0" collapsed="false"/>
    <row r="54" customFormat="false" ht="21.75" hidden="false" customHeight="true" outlineLevel="0" collapsed="false"/>
    <row r="55" customFormat="false" ht="21.75" hidden="false" customHeight="true" outlineLevel="0" collapsed="false"/>
    <row r="56" customFormat="false" ht="21.75" hidden="false" customHeight="true" outlineLevel="0" collapsed="false"/>
    <row r="57" customFormat="false" ht="21.75" hidden="false" customHeight="true" outlineLevel="0" collapsed="false"/>
    <row r="58" customFormat="false" ht="21.75" hidden="false" customHeight="true" outlineLevel="0" collapsed="false"/>
    <row r="59" customFormat="false" ht="21.75" hidden="false" customHeight="true" outlineLevel="0" collapsed="false"/>
    <row r="60" customFormat="false" ht="21.75" hidden="false" customHeight="true" outlineLevel="0" collapsed="false"/>
    <row r="61" customFormat="false" ht="21.75" hidden="false" customHeight="true" outlineLevel="0" collapsed="false"/>
    <row r="62" customFormat="false" ht="21.75" hidden="false" customHeight="true" outlineLevel="0" collapsed="false"/>
    <row r="63" customFormat="false" ht="21.75" hidden="false" customHeight="true" outlineLevel="0" collapsed="false"/>
    <row r="64" customFormat="false" ht="21.75" hidden="false" customHeight="true" outlineLevel="0" collapsed="false"/>
    <row r="65" customFormat="false" ht="21.75" hidden="false" customHeight="true" outlineLevel="0" collapsed="false"/>
    <row r="66" customFormat="false" ht="21.75" hidden="false" customHeight="true" outlineLevel="0" collapsed="false"/>
    <row r="67" customFormat="false" ht="21.75" hidden="false" customHeight="true" outlineLevel="0" collapsed="false"/>
    <row r="68" customFormat="false" ht="21.75" hidden="false" customHeight="true" outlineLevel="0" collapsed="false"/>
    <row r="69" customFormat="false" ht="21.75" hidden="false" customHeight="true" outlineLevel="0" collapsed="false"/>
  </sheetData>
  <mergeCells count="18">
    <mergeCell ref="A1:F2"/>
    <mergeCell ref="A5:F5"/>
    <mergeCell ref="C6:F6"/>
    <mergeCell ref="C7:F7"/>
    <mergeCell ref="C8:F8"/>
    <mergeCell ref="C9:F9"/>
    <mergeCell ref="A11:F11"/>
    <mergeCell ref="A20:B20"/>
    <mergeCell ref="D20:E20"/>
    <mergeCell ref="A21:B21"/>
    <mergeCell ref="A23:F23"/>
    <mergeCell ref="A32:B32"/>
    <mergeCell ref="D32:E32"/>
    <mergeCell ref="A33:B33"/>
    <mergeCell ref="A35:F35"/>
    <mergeCell ref="C36:F36"/>
    <mergeCell ref="C37:F37"/>
    <mergeCell ref="C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4" min="3" style="1" width="20"/>
    <col collapsed="false" customWidth="true" hidden="false" outlineLevel="0" max="5" min="5" style="1" width="22"/>
  </cols>
  <sheetData>
    <row r="1" customFormat="false" ht="21.75" hidden="false" customHeight="true" outlineLevel="0" collapsed="false">
      <c r="A1" s="2" t="s">
        <v>63</v>
      </c>
      <c r="B1" s="2"/>
      <c r="C1" s="2"/>
      <c r="D1" s="2"/>
      <c r="E1" s="2"/>
    </row>
    <row r="2" customFormat="false" ht="21.75" hidden="false" customHeight="true" outlineLevel="0" collapsed="false">
      <c r="A2" s="2"/>
      <c r="B2" s="2"/>
      <c r="C2" s="2"/>
      <c r="D2" s="2"/>
      <c r="E2" s="2"/>
    </row>
    <row r="3" customFormat="false" ht="21.75" hidden="false" customHeight="true" outlineLevel="0" collapsed="false"/>
    <row r="4" customFormat="false" ht="21.75" hidden="false" customHeight="true" outlineLevel="0" collapsed="false">
      <c r="A4" s="42" t="s">
        <v>64</v>
      </c>
      <c r="B4" s="42"/>
      <c r="C4" s="42"/>
      <c r="D4" s="42"/>
      <c r="E4" s="42"/>
    </row>
    <row r="5" customFormat="false" ht="21.75" hidden="false" customHeight="true" outlineLevel="0" collapsed="false">
      <c r="A5" s="43"/>
      <c r="B5" s="43" t="s">
        <v>65</v>
      </c>
      <c r="C5" s="44" t="s">
        <v>66</v>
      </c>
      <c r="D5" s="45" t="s">
        <v>67</v>
      </c>
      <c r="E5" s="43" t="s">
        <v>68</v>
      </c>
    </row>
    <row r="6" customFormat="false" ht="21.75" hidden="false" customHeight="true" outlineLevel="0" collapsed="false">
      <c r="A6" s="46"/>
      <c r="B6" s="46" t="s">
        <v>69</v>
      </c>
      <c r="C6" s="47" t="n">
        <f aca="false">'Weekly Tracker'!C20</f>
        <v>7</v>
      </c>
      <c r="D6" s="47" t="n">
        <f aca="false">'Weekly Tracker'!C32</f>
        <v>0</v>
      </c>
      <c r="E6" s="47" t="n">
        <f aca="false">D6-C6</f>
        <v>-7</v>
      </c>
    </row>
    <row r="7" customFormat="false" ht="21.75" hidden="false" customHeight="true" outlineLevel="0" collapsed="false">
      <c r="A7" s="9"/>
      <c r="B7" s="9" t="s">
        <v>70</v>
      </c>
      <c r="C7" s="48" t="n">
        <f aca="false">'Weekly Tracker'!F20</f>
        <v>5</v>
      </c>
      <c r="D7" s="48" t="n">
        <f aca="false">'Weekly Tracker'!F32</f>
        <v>0</v>
      </c>
      <c r="E7" s="48" t="n">
        <f aca="false">D7-C7</f>
        <v>-5</v>
      </c>
    </row>
    <row r="8" customFormat="false" ht="21.75" hidden="false" customHeight="true" outlineLevel="0" collapsed="false">
      <c r="A8" s="46"/>
      <c r="B8" s="49" t="s">
        <v>71</v>
      </c>
      <c r="C8" s="50" t="n">
        <f aca="false">'Weekly Tracker'!C21</f>
        <v>0.714285714285714</v>
      </c>
      <c r="D8" s="51" t="str">
        <f aca="false">'Weekly Tracker'!C33</f>
        <v>—</v>
      </c>
      <c r="E8" s="52" t="str">
        <f aca="false">IF(AND(ISNUMBER(D8),ISNUMBER(C8)),D8-C8,"—")</f>
        <v>—</v>
      </c>
    </row>
    <row r="9" customFormat="false" ht="21.75" hidden="false" customHeight="true" outlineLevel="0" collapsed="false">
      <c r="A9" s="9"/>
      <c r="B9" s="9" t="s">
        <v>72</v>
      </c>
      <c r="C9" s="48" t="s">
        <v>73</v>
      </c>
      <c r="D9" s="48" t="s">
        <v>73</v>
      </c>
      <c r="E9" s="48" t="s">
        <v>73</v>
      </c>
    </row>
    <row r="10" customFormat="false" ht="21.75" hidden="false" customHeight="true" outlineLevel="0" collapsed="false">
      <c r="A10" s="46"/>
      <c r="B10" s="46" t="s">
        <v>74</v>
      </c>
      <c r="C10" s="47" t="s">
        <v>73</v>
      </c>
      <c r="D10" s="47" t="s">
        <v>73</v>
      </c>
      <c r="E10" s="47" t="s">
        <v>73</v>
      </c>
    </row>
    <row r="11" customFormat="false" ht="21.75" hidden="false" customHeight="true" outlineLevel="0" collapsed="false"/>
    <row r="12" customFormat="false" ht="21.75" hidden="false" customHeight="true" outlineLevel="0" collapsed="false">
      <c r="A12" s="53" t="s">
        <v>75</v>
      </c>
      <c r="B12" s="53"/>
      <c r="C12" s="53"/>
      <c r="D12" s="53"/>
      <c r="E12" s="53"/>
    </row>
    <row r="13" customFormat="false" ht="43.5" hidden="false" customHeight="true" outlineLevel="0" collapsed="false">
      <c r="A13" s="30" t="str">
        <f aca="false">IF(ISNUMBER('Weekly Tracker'!C33)*ISNUMBER('Weekly Tracker'!C21),"Week 2 success rate: "&amp;TEXT('Weekly Tracker'!C33,"0%")&amp;"  vs  Week 1: "&amp;TEXT('Weekly Tracker'!C21,"0%")&amp;"   —   Log your prompts in the Weekly Tracker tab to see live results.","Fill in Week 1 and Week 2 data in the Weekly Tracker tab to see your comparison here.")</f>
        <v>Fill in Week 1 and Week 2 data in the Weekly Tracker tab to see your comparison here.</v>
      </c>
      <c r="B13" s="30"/>
      <c r="C13" s="30"/>
      <c r="D13" s="30"/>
      <c r="E13" s="30"/>
    </row>
    <row r="14" customFormat="false" ht="21.75" hidden="false" customHeight="true" outlineLevel="0" collapsed="false"/>
    <row r="15" customFormat="false" ht="21.75" hidden="false" customHeight="true" outlineLevel="0" collapsed="false">
      <c r="A15" s="41" t="s">
        <v>76</v>
      </c>
      <c r="B15" s="41"/>
      <c r="C15" s="41"/>
      <c r="D15" s="41"/>
      <c r="E15" s="41"/>
    </row>
    <row r="16" customFormat="false" ht="21.75" hidden="false" customHeight="true" outlineLevel="0" collapsed="false">
      <c r="A16" s="3"/>
      <c r="B16" s="4" t="s">
        <v>77</v>
      </c>
      <c r="C16" s="8" t="s">
        <v>78</v>
      </c>
      <c r="D16" s="8"/>
      <c r="E16" s="8"/>
    </row>
    <row r="17" customFormat="false" ht="21.75" hidden="false" customHeight="true" outlineLevel="0" collapsed="false">
      <c r="A17" s="9"/>
      <c r="B17" s="10" t="s">
        <v>79</v>
      </c>
      <c r="C17" s="11" t="s">
        <v>80</v>
      </c>
      <c r="D17" s="11"/>
      <c r="E17" s="11"/>
    </row>
    <row r="18" customFormat="false" ht="21.75" hidden="false" customHeight="true" outlineLevel="0" collapsed="false">
      <c r="A18" s="3"/>
      <c r="B18" s="4" t="s">
        <v>81</v>
      </c>
      <c r="C18" s="8" t="s">
        <v>82</v>
      </c>
      <c r="D18" s="8"/>
      <c r="E18" s="8"/>
    </row>
    <row r="19" customFormat="false" ht="21.75" hidden="false" customHeight="true" outlineLevel="0" collapsed="false">
      <c r="A19" s="9"/>
      <c r="B19" s="10" t="s">
        <v>83</v>
      </c>
      <c r="C19" s="11" t="s">
        <v>84</v>
      </c>
      <c r="D19" s="11"/>
      <c r="E19" s="11"/>
    </row>
    <row r="20" customFormat="false" ht="21.75" hidden="false" customHeight="true" outlineLevel="0" collapsed="false">
      <c r="A20" s="3"/>
      <c r="B20" s="4" t="s">
        <v>85</v>
      </c>
      <c r="C20" s="8" t="s">
        <v>86</v>
      </c>
      <c r="D20" s="8"/>
      <c r="E20" s="8"/>
    </row>
    <row r="21" customFormat="false" ht="21.75" hidden="false" customHeight="true" outlineLevel="0" collapsed="false"/>
    <row r="22" customFormat="false" ht="21.75" hidden="false" customHeight="true" outlineLevel="0" collapsed="false"/>
    <row r="23" customFormat="false" ht="21.75" hidden="false" customHeight="true" outlineLevel="0" collapsed="false"/>
    <row r="24" customFormat="false" ht="21.75" hidden="false" customHeight="true" outlineLevel="0" collapsed="false"/>
    <row r="25" customFormat="false" ht="21.75" hidden="false" customHeight="true" outlineLevel="0" collapsed="false"/>
    <row r="26" customFormat="false" ht="21.75" hidden="false" customHeight="true" outlineLevel="0" collapsed="false"/>
    <row r="27" customFormat="false" ht="21.75" hidden="false" customHeight="true" outlineLevel="0" collapsed="false"/>
    <row r="28" customFormat="false" ht="21.75" hidden="false" customHeight="true" outlineLevel="0" collapsed="false"/>
    <row r="29" customFormat="false" ht="21.75" hidden="false" customHeight="true" outlineLevel="0" collapsed="false"/>
    <row r="30" customFormat="false" ht="21.75" hidden="false" customHeight="true" outlineLevel="0" collapsed="false"/>
    <row r="31" customFormat="false" ht="21.75" hidden="false" customHeight="true" outlineLevel="0" collapsed="false"/>
    <row r="32" customFormat="false" ht="21.75" hidden="false" customHeight="true" outlineLevel="0" collapsed="false"/>
    <row r="33" customFormat="false" ht="21.75" hidden="false" customHeight="true" outlineLevel="0" collapsed="false"/>
    <row r="34" customFormat="false" ht="21.75" hidden="false" customHeight="true" outlineLevel="0" collapsed="false"/>
    <row r="35" customFormat="false" ht="21.75" hidden="false" customHeight="true" outlineLevel="0" collapsed="false"/>
    <row r="36" customFormat="false" ht="21.75" hidden="false" customHeight="true" outlineLevel="0" collapsed="false"/>
    <row r="37" customFormat="false" ht="21.75" hidden="false" customHeight="true" outlineLevel="0" collapsed="false"/>
    <row r="38" customFormat="false" ht="21.75" hidden="false" customHeight="true" outlineLevel="0" collapsed="false"/>
    <row r="39" customFormat="false" ht="21.75" hidden="false" customHeight="true" outlineLevel="0" collapsed="false"/>
    <row r="40" customFormat="false" ht="21.75" hidden="false" customHeight="true" outlineLevel="0" collapsed="false"/>
    <row r="41" customFormat="false" ht="21.75" hidden="false" customHeight="true" outlineLevel="0" collapsed="false"/>
    <row r="42" customFormat="false" ht="21.75" hidden="false" customHeight="true" outlineLevel="0" collapsed="false"/>
    <row r="43" customFormat="false" ht="21.75" hidden="false" customHeight="true" outlineLevel="0" collapsed="false"/>
    <row r="44" customFormat="false" ht="21.75" hidden="false" customHeight="true" outlineLevel="0" collapsed="false"/>
    <row r="45" customFormat="false" ht="21.75" hidden="false" customHeight="true" outlineLevel="0" collapsed="false"/>
    <row r="46" customFormat="false" ht="21.75" hidden="false" customHeight="true" outlineLevel="0" collapsed="false"/>
    <row r="47" customFormat="false" ht="21.75" hidden="false" customHeight="true" outlineLevel="0" collapsed="false"/>
    <row r="48" customFormat="false" ht="21.75" hidden="false" customHeight="true" outlineLevel="0" collapsed="false"/>
    <row r="49" customFormat="false" ht="21.75" hidden="false" customHeight="true" outlineLevel="0" collapsed="false"/>
  </sheetData>
  <mergeCells count="10">
    <mergeCell ref="A1:E2"/>
    <mergeCell ref="A4:E4"/>
    <mergeCell ref="A12:E12"/>
    <mergeCell ref="A13:E13"/>
    <mergeCell ref="A15:E15"/>
    <mergeCell ref="C16:E16"/>
    <mergeCell ref="C17:E17"/>
    <mergeCell ref="C18:E18"/>
    <mergeCell ref="C19:E19"/>
    <mergeCell ref="C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5" min="4" style="1" width="50"/>
    <col collapsed="false" customWidth="true" hidden="false" outlineLevel="0" max="6" min="6" style="1" width="30"/>
  </cols>
  <sheetData>
    <row r="1" customFormat="false" ht="21.75" hidden="false" customHeight="true" outlineLevel="0" collapsed="false">
      <c r="A1" s="2" t="s">
        <v>87</v>
      </c>
      <c r="B1" s="2"/>
      <c r="C1" s="2"/>
      <c r="D1" s="2"/>
      <c r="E1" s="2"/>
      <c r="F1" s="2"/>
    </row>
    <row r="2" customFormat="false" ht="21.75" hidden="false" customHeight="true" outlineLevel="0" collapsed="false">
      <c r="A2" s="2"/>
      <c r="B2" s="2"/>
      <c r="C2" s="2"/>
      <c r="D2" s="2"/>
      <c r="E2" s="2"/>
      <c r="F2" s="2"/>
    </row>
    <row r="3" customFormat="false" ht="21.75" hidden="false" customHeight="true" outlineLevel="0" collapsed="false"/>
    <row r="4" customFormat="false" ht="21.75" hidden="false" customHeight="true" outlineLevel="0" collapsed="false">
      <c r="A4" s="43"/>
      <c r="B4" s="43" t="s">
        <v>88</v>
      </c>
      <c r="C4" s="43" t="s">
        <v>89</v>
      </c>
      <c r="D4" s="43" t="s">
        <v>90</v>
      </c>
      <c r="E4" s="43" t="s">
        <v>91</v>
      </c>
      <c r="F4" s="43" t="s">
        <v>92</v>
      </c>
    </row>
    <row r="5" customFormat="false" ht="60" hidden="false" customHeight="true" outlineLevel="0" collapsed="false">
      <c r="A5" s="46"/>
      <c r="B5" s="54" t="s">
        <v>93</v>
      </c>
      <c r="C5" s="55" t="s">
        <v>94</v>
      </c>
      <c r="D5" s="56" t="s">
        <v>95</v>
      </c>
      <c r="E5" s="57" t="s">
        <v>96</v>
      </c>
      <c r="F5" s="58" t="s">
        <v>97</v>
      </c>
    </row>
    <row r="6" customFormat="false" ht="60" hidden="false" customHeight="true" outlineLevel="0" collapsed="false">
      <c r="A6" s="9"/>
      <c r="B6" s="59" t="s">
        <v>93</v>
      </c>
      <c r="C6" s="60" t="s">
        <v>98</v>
      </c>
      <c r="D6" s="61" t="s">
        <v>99</v>
      </c>
      <c r="E6" s="62" t="s">
        <v>100</v>
      </c>
      <c r="F6" s="63" t="s">
        <v>101</v>
      </c>
    </row>
    <row r="7" customFormat="false" ht="60" hidden="false" customHeight="true" outlineLevel="0" collapsed="false">
      <c r="A7" s="46"/>
      <c r="B7" s="54" t="s">
        <v>93</v>
      </c>
      <c r="C7" s="55" t="s">
        <v>102</v>
      </c>
      <c r="D7" s="56" t="s">
        <v>103</v>
      </c>
      <c r="E7" s="57" t="s">
        <v>104</v>
      </c>
      <c r="F7" s="58" t="s">
        <v>105</v>
      </c>
    </row>
    <row r="8" customFormat="false" ht="60" hidden="false" customHeight="true" outlineLevel="0" collapsed="false">
      <c r="A8" s="9"/>
      <c r="B8" s="59" t="s">
        <v>106</v>
      </c>
      <c r="C8" s="60" t="s">
        <v>107</v>
      </c>
      <c r="D8" s="61" t="s">
        <v>108</v>
      </c>
      <c r="E8" s="62" t="s">
        <v>109</v>
      </c>
      <c r="F8" s="63"/>
    </row>
    <row r="9" customFormat="false" ht="60" hidden="false" customHeight="true" outlineLevel="0" collapsed="false">
      <c r="A9" s="46"/>
      <c r="B9" s="54" t="s">
        <v>106</v>
      </c>
      <c r="C9" s="55" t="s">
        <v>110</v>
      </c>
      <c r="D9" s="56" t="s">
        <v>111</v>
      </c>
      <c r="E9" s="57" t="s">
        <v>112</v>
      </c>
      <c r="F9" s="58"/>
    </row>
    <row r="10" customFormat="false" ht="21.75" hidden="false" customHeight="true" outlineLevel="0" collapsed="false"/>
    <row r="11" customFormat="false" ht="21.75" hidden="false" customHeight="true" outlineLevel="0" collapsed="false"/>
    <row r="12" customFormat="false" ht="21.75" hidden="false" customHeight="true" outlineLevel="0" collapsed="false"/>
    <row r="13" customFormat="false" ht="21.75" hidden="false" customHeight="true" outlineLevel="0" collapsed="false"/>
    <row r="14" customFormat="false" ht="21.75" hidden="false" customHeight="true" outlineLevel="0" collapsed="false"/>
    <row r="15" customFormat="false" ht="21.75" hidden="false" customHeight="true" outlineLevel="0" collapsed="false"/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  <row r="21" customFormat="false" ht="21.75" hidden="false" customHeight="true" outlineLevel="0" collapsed="false"/>
    <row r="22" customFormat="false" ht="21.75" hidden="false" customHeight="true" outlineLevel="0" collapsed="false"/>
    <row r="23" customFormat="false" ht="21.75" hidden="false" customHeight="true" outlineLevel="0" collapsed="false"/>
    <row r="24" customFormat="false" ht="21.75" hidden="false" customHeight="true" outlineLevel="0" collapsed="false"/>
    <row r="25" customFormat="false" ht="21.75" hidden="false" customHeight="true" outlineLevel="0" collapsed="false"/>
    <row r="26" customFormat="false" ht="21.75" hidden="false" customHeight="true" outlineLevel="0" collapsed="false"/>
    <row r="27" customFormat="false" ht="21.75" hidden="false" customHeight="true" outlineLevel="0" collapsed="false"/>
    <row r="28" customFormat="false" ht="21.75" hidden="false" customHeight="true" outlineLevel="0" collapsed="false"/>
    <row r="29" customFormat="false" ht="21.75" hidden="false" customHeight="true" outlineLevel="0" collapsed="false"/>
    <row r="30" customFormat="false" ht="21.75" hidden="false" customHeight="true" outlineLevel="0" collapsed="false"/>
    <row r="31" customFormat="false" ht="21.75" hidden="false" customHeight="true" outlineLevel="0" collapsed="false"/>
    <row r="32" customFormat="false" ht="21.75" hidden="false" customHeight="true" outlineLevel="0" collapsed="false"/>
    <row r="33" customFormat="false" ht="21.75" hidden="false" customHeight="true" outlineLevel="0" collapsed="false"/>
    <row r="34" customFormat="false" ht="21.75" hidden="false" customHeight="true" outlineLevel="0" collapsed="false"/>
    <row r="35" customFormat="false" ht="21.75" hidden="false" customHeight="true" outlineLevel="0" collapsed="false"/>
    <row r="36" customFormat="false" ht="21.75" hidden="false" customHeight="true" outlineLevel="0" collapsed="false"/>
    <row r="37" customFormat="false" ht="21.75" hidden="false" customHeight="true" outlineLevel="0" collapsed="false"/>
    <row r="38" customFormat="false" ht="21.75" hidden="false" customHeight="true" outlineLevel="0" collapsed="false"/>
    <row r="39" customFormat="false" ht="21.75" hidden="false" customHeight="true" outlineLevel="0" collapsed="false"/>
    <row r="40" customFormat="false" ht="21.75" hidden="false" customHeight="true" outlineLevel="0" collapsed="false"/>
    <row r="41" customFormat="false" ht="21.75" hidden="false" customHeight="true" outlineLevel="0" collapsed="false"/>
    <row r="42" customFormat="false" ht="21.75" hidden="false" customHeight="true" outlineLevel="0" collapsed="false"/>
    <row r="43" customFormat="false" ht="21.75" hidden="false" customHeight="true" outlineLevel="0" collapsed="false"/>
    <row r="44" customFormat="false" ht="21.75" hidden="false" customHeight="true" outlineLevel="0" collapsed="false"/>
    <row r="45" customFormat="false" ht="21.75" hidden="false" customHeight="true" outlineLevel="0" collapsed="false"/>
    <row r="46" customFormat="false" ht="21.75" hidden="false" customHeight="true" outlineLevel="0" collapsed="false"/>
    <row r="47" customFormat="false" ht="21.75" hidden="false" customHeight="true" outlineLevel="0" collapsed="false"/>
    <row r="48" customFormat="false" ht="21.75" hidden="false" customHeight="true" outlineLevel="0" collapsed="false"/>
    <row r="49" customFormat="false" ht="21.75" hidden="false" customHeight="true" outlineLevel="0" collapsed="false"/>
    <row r="50" customFormat="false" ht="21.75" hidden="false" customHeight="true" outlineLevel="0" collapsed="false"/>
    <row r="51" customFormat="false" ht="21.75" hidden="false" customHeight="true" outlineLevel="0" collapsed="false"/>
    <row r="52" customFormat="false" ht="21.75" hidden="false" customHeight="true" outlineLevel="0" collapsed="false"/>
    <row r="53" customFormat="false" ht="21.75" hidden="false" customHeight="true" outlineLevel="0" collapsed="false"/>
    <row r="54" customFormat="false" ht="21.75" hidden="false" customHeight="true" outlineLevel="0" collapsed="false"/>
    <row r="55" customFormat="false" ht="21.75" hidden="false" customHeight="true" outlineLevel="0" collapsed="false"/>
    <row r="56" customFormat="false" ht="21.75" hidden="false" customHeight="true" outlineLevel="0" collapsed="false"/>
    <row r="57" customFormat="false" ht="21.75" hidden="false" customHeight="true" outlineLevel="0" collapsed="false"/>
    <row r="58" customFormat="false" ht="21.75" hidden="false" customHeight="true" outlineLevel="0" collapsed="false"/>
    <row r="59" customFormat="false" ht="21.75" hidden="false" customHeight="true" outlineLevel="0" collapsed="false"/>
  </sheetData>
  <mergeCells count="1">
    <mergeCell ref="A1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2026-03-26T07:29:01Z</dcterms:created>
  <dc:creator>openpyxl</dc:creator>
  <dc:description/>
  <dc:language>en-US</dc:language>
  <cp:lastModifiedBy/>
  <dcterms:modified xsi:type="dcterms:W3CDTF">2026-03-26T07:51:58Z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